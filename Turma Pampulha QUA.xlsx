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10215"/>
  <workbookPr/>
  <mc:AlternateContent>
    <mc:Choice Requires="x15">
      <x15ac:absPath xmlns:x15ac="http://schemas.microsoft.com/office/spreadsheetml/2010/11/ac" url="/Users/daniel/git/pessoal/chamadas/backend/storage/"/>
    </mc:Choice>
  </mc:AlternateContent>
  <bookViews>
    <workbookView xWindow="4520" yWindow="4160" windowWidth="36000" windowHeight="21560"/>
  </bookViews>
  <sheets>
    <sheet name="chamada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<sst xmlns="http://schemas.openxmlformats.org/spreadsheetml/2006/main" uniqueCount="6" count="6">
  <si>
    <t/>
  </si>
  <si>
    <t>Nome</t>
  </si>
  <si>
    <t>% presença</t>
  </si>
  <si>
    <t>Turma</t>
  </si>
  <si>
    <t>Escola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</si>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</sst>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3">
    <font>
      <name val="Arial"/>
      <family val="1"/>
      <sz val="11"/>
    </font>
    <font>
      <name val="Arial"/>
      <family val="1"/>
      <sz val="12"/>
    </font>
    <font>
      <name val="Arial"/>
      <family val="1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textRotation="90"/>
    </xf>
    <xf numFmtId="14" fontId="0" fillId="0" borderId="0" xfId="0" applyNumberFormat="1" applyAlignment="1">
      <alignment textRotation="9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defaultTableStyle="TableStyleMedium9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K9"/>
  <sheetViews>
    <sheetView tabSelected="1" showWhiteSpace="false" zoomScale="120" zoomScaleNormal="120" workbookViewId="0">
      <selection activeCell="E4" sqref="E4"/>
    </sheetView>
  </sheetViews>
  <sheetFormatPr baseColWidth="10" defaultColWidth="7.83203125" defaultRowHeight="14"/>
  <cols>
    <col min="1" max="1" width="8.83203125" customWidth="1"/>
    <col min="2" max="2" width="44" customWidth="1"/>
  </cols>
  <sheetData>
    <row r="1" spans="1:2" customFormat="false" ht="20">
      <c r="A1" s="5" t="str">
        <v>Belo Horizonte</v>
      </c>
      <c r="B1" s="5"/>
    </row>
    <row r="2" spans="1:37" s="1" customFormat="1" ht="16">
      <c r="A2" s="6" t="str">
        <v>Turma Pampulha (QUA)</v>
      </c>
      <c r="B2" s="6"/>
      <c r="C2" s="1" t="str">
        <v/>
      </c>
      <c r="D2" s="1" t="str">
        <v/>
      </c>
      <c r="E2" s="1" t="str">
        <v/>
      </c>
      <c r="F2" s="1" t="str">
        <v/>
      </c>
      <c r="G2" s="1" t="str">
        <v>Filosofia para viver</v>
      </c>
      <c r="H2" s="1" t="str">
        <v>Filosofia para viver</v>
      </c>
      <c r="I2" s="1" t="str">
        <v>Filosofia para viver</v>
      </c>
      <c r="J2" s="1" t="str">
        <v>Filosofia para viver</v>
      </c>
      <c r="K2" s="1" t="str">
        <v>Filosofia para viver</v>
      </c>
      <c r="L2" s="1" t="str">
        <v>Filosofia para viver</v>
      </c>
      <c r="M2" s="1" t="str">
        <v>Filosofia para viver</v>
      </c>
      <c r="N2" s="1" t="str">
        <v>Filosofia para viver</v>
      </c>
      <c r="O2" s="1" t="str">
        <v>Filosofia para viver</v>
      </c>
      <c r="P2" s="1" t="str">
        <v>Filosofia para viver</v>
      </c>
      <c r="Q2" s="1" t="str">
        <v>Filosofia para viver</v>
      </c>
      <c r="R2" s="1" t="str">
        <v>Filosofia para viver</v>
      </c>
      <c r="S2" s="1" t="str">
        <v>Filosofia para viver</v>
      </c>
      <c r="T2" s="1" t="str">
        <v>Filosofia para viver</v>
      </c>
      <c r="U2" s="1" t="str">
        <v>Filosofia para viver</v>
      </c>
      <c r="V2" s="1" t="str">
        <v>Filosofia para viver</v>
      </c>
      <c r="W2" s="1" t="str">
        <v>Filosofia para viver</v>
      </c>
      <c r="X2" s="1" t="str">
        <v>Filosofia para viver</v>
      </c>
      <c r="Y2" s="1" t="str">
        <v>Filosofia para viver</v>
      </c>
      <c r="Z2" s="1" t="str">
        <v>Filosofia para viver</v>
      </c>
      <c r="AA2" s="1" t="str">
        <v>Filosofia para viver</v>
      </c>
      <c r="AB2" s="1" t="str">
        <v>Filosofia para viver</v>
      </c>
      <c r="AC2" s="1" t="str">
        <v>Filosofia para viver</v>
      </c>
      <c r="AD2" s="1" t="str">
        <v>Filosofia para viver</v>
      </c>
      <c r="AE2" s="1" t="str">
        <v>Filosofia para viver</v>
      </c>
      <c r="AF2" s="1" t="str">
        <v>Filosofia para viver</v>
      </c>
      <c r="AG2" s="1" t="str">
        <v>Filosofia para viver</v>
      </c>
      <c r="AH2" s="1" t="str">
        <v>Filosofia para viver</v>
      </c>
      <c r="AI2" s="1" t="str">
        <v>Filosofia para viver</v>
      </c>
      <c r="AJ2" s="1" t="str">
        <v>Filosofia para viver</v>
      </c>
      <c r="AK2" s="1" t="str">
        <v>Filosofia para viver</v>
      </c>
    </row>
    <row r="3" spans="1:37" s="8" customFormat="1" ht="16">
      <c r="A3" s="7" t="str">
        <v>Tema</v>
      </c>
      <c r="B3" s="7"/>
      <c r="C3" s="8" t="str">
        <v/>
      </c>
      <c r="D3" s="8" t="str">
        <v/>
      </c>
      <c r="E3" s="8" t="str">
        <v/>
      </c>
      <c r="F3" s="8" t="str">
        <v/>
      </c>
      <c r="G3" s="8" t="str">
        <v>Transpasso Aula 10</v>
      </c>
      <c r="H3" s="8" t="str">
        <v>Tema 9 - O símbolo geral e Tema 7 - Os três princípios</v>
      </c>
      <c r="I3" s="8" t="str">
        <v>Tema 8</v>
      </c>
      <c r="J3" s="8" t="str">
        <v>Tranpasso - Aula 6 - Hábitos</v>
      </c>
      <c r="K3" s="8" t="str">
        <v>Curso de Tranpasso - Aula 5 - O sentido da vida</v>
      </c>
      <c r="L3" s="8" t="str">
        <v>Tranpasso - Aula 4 - Eros e Psiquê</v>
      </c>
      <c r="M3" s="8" t="str">
        <v>Curso de Transpasso - Tema 3 - Valores Humanos</v>
      </c>
      <c r="N3" s="8" t="str">
        <v>Transpasso 2 - Voluntariado</v>
      </c>
      <c r="O3" s="8" t="str">
        <v>Transpasso 1 - Reflexão</v>
      </c>
      <c r="P3" s="8" t="str">
        <v>Filosofia da História - tema 18 - Entrega certificados</v>
      </c>
      <c r="Q3" s="8" t="str">
        <v>Tema 17 - Os ciclos da História</v>
      </c>
      <c r="R3" s="8" t="str">
        <v>Tema 16 - História e Mitologia</v>
      </c>
      <c r="S3" s="8" t="str">
        <v>Tema 15 - A importância da transmissão</v>
      </c>
      <c r="T3" s="8" t="str">
        <v>Tema 14 - Filosofia da História</v>
      </c>
      <c r="U3" s="8" t="str">
        <v>Tema 13 - Roma e os Estóicos</v>
      </c>
      <c r="V3" s="8" t="str">
        <v>Tema 12 - Egito</v>
      </c>
      <c r="W3" s="8" t="str">
        <v>Tema 11 - A importância da Educação</v>
      </c>
      <c r="X3" s="8" t="str">
        <v>Tema 10 - Plotino e a Escola Neoplatônica</v>
      </c>
      <c r="Y3" s="8" t="str">
        <v>Tema 9 - Aristóteles</v>
      </c>
      <c r="Z3" s="8" t="str">
        <v>Tema 8 - Platão e o Mito da Caverna</v>
      </c>
      <c r="AA3" s="8" t="str">
        <v>7-O Desafio de Viver em sociedade</v>
      </c>
      <c r="AB3" s="8" t="str">
        <v>Avaliação de Ética</v>
      </c>
      <c r="AC3" s="8" t="str">
        <v>Avaliação  Ética</v>
      </c>
      <c r="AD3" s="8" t="str">
        <v>6-A Sabedoria na China</v>
      </c>
      <c r="AE3" s="8" t="str">
        <v>5 - Filosofia Budista</v>
      </c>
      <c r="AF3" s="8" t="str">
        <v>4-Os Mistérios do Tibete</v>
      </c>
      <c r="AG3" s="8" t="str">
        <v>3 -Sabedoria da Índia (cont.)</v>
      </c>
      <c r="AH3" s="8" t="str">
        <v>3-A Sabedoria da Índia</v>
      </c>
      <c r="AI3" s="8" t="str">
        <v>2-O Ser Humano e o Cosmos</v>
      </c>
      <c r="AJ3" s="8" t="str">
        <v>1-Filosofia Natural</v>
      </c>
      <c r="AK3" s="8" t="str">
        <v>Aula de apresentação</v>
      </c>
    </row>
    <row r="4" spans="1:37" customFormat="false" ht="16">
      <c r="A4" s="7" t="str">
        <v>Instrutores</v>
      </c>
      <c r="B4" s="7"/>
      <c r="C4" s="0" t="str">
        <v/>
      </c>
      <c r="D4" s="0" t="str">
        <v/>
      </c>
      <c r="E4" s="0" t="str">
        <v/>
      </c>
      <c r="F4" s="0" t="str">
        <v/>
      </c>
      <c r="G4" s="0" t="str">
        <v>Willy Garabini Cornelissen</v>
      </c>
      <c r="H4" s="0" t="str">
        <v>Willy Garabini Cornelissen</v>
      </c>
      <c r="I4" s="0" t="str">
        <v>Helder Henrique da Silva</v>
      </c>
      <c r="J4" s="0" t="str">
        <v>Willy Garabini Cornelissen</v>
      </c>
      <c r="K4" s="0" t="str">
        <v>Willy Garabini Cornelissen</v>
      </c>
      <c r="L4" s="0" t="str">
        <v/>
      </c>
      <c r="M4" s="0" t="str">
        <v>Willy Garabini Cornelissen</v>
      </c>
      <c r="N4" s="0" t="str">
        <v>Willy Garabini Cornelissen</v>
      </c>
      <c r="O4" s="0" t="str">
        <v>Willy Garabini Cornelissen</v>
      </c>
      <c r="P4" s="0" t="str">
        <v>Willy Garabini Cornelissen</v>
      </c>
      <c r="Q4" s="0" t="str">
        <v>Willy Garabini Cornelissen</v>
      </c>
      <c r="R4" s="0" t="str">
        <v>Willy Garabini Cornelissen</v>
      </c>
      <c r="S4" s="0" t="str">
        <v>Willy Garabini Cornelissen</v>
      </c>
      <c r="T4" s="0" t="str">
        <v>Willy Garabini Cornelissen</v>
      </c>
      <c r="U4" s="0" t="str">
        <v>Willy Garabini Cornelissen</v>
      </c>
      <c r="V4" s="0" t="str">
        <v>Willy Garabini Cornelissen</v>
      </c>
      <c r="W4" s="0" t="str">
        <v>Willy Garabini Cornelissen</v>
      </c>
      <c r="X4" s="0" t="str">
        <v>Willy Garabini Cornelissen</v>
      </c>
      <c r="Y4" s="0" t="str">
        <v>Willy Garabini Cornelissen</v>
      </c>
      <c r="Z4" s="0" t="str">
        <v>Willy Garabini Cornelissen</v>
      </c>
      <c r="AA4" s="0" t="str">
        <v>Willy Garabini Cornelissen</v>
      </c>
      <c r="AB4" s="0" t="str">
        <v>Willy Garabini Cornelissen</v>
      </c>
      <c r="AC4" s="0" t="str">
        <v>Willy Garabini Cornelissen</v>
      </c>
      <c r="AD4" s="0" t="str">
        <v>Willy Garabini Cornelissen</v>
      </c>
      <c r="AE4" s="0" t="str">
        <v>Willy Garabini Cornelissen</v>
      </c>
      <c r="AF4" s="0" t="str">
        <v>Willy Garabini Cornelissen</v>
      </c>
      <c r="AG4" s="0" t="str">
        <v>Willy Garabini Cornelissen</v>
      </c>
      <c r="AH4" s="0" t="str">
        <v>Willy Garabini Cornelissen</v>
      </c>
      <c r="AI4" s="0" t="str">
        <v>Willy Garabini Cornelissen</v>
      </c>
      <c r="AJ4" s="0" t="str">
        <v>Willy Garabini Cornelissen</v>
      </c>
      <c r="AK4" s="0" t="str">
        <v>Willy Garabini Cornelissen</v>
      </c>
    </row>
    <row r="5" spans="1:37" customFormat="false">
      <c r="A5" s="7"/>
      <c r="B5" s="7"/>
      <c r="C5" s="0" t="str">
        <v>% Presença</v>
      </c>
      <c r="D5" s="0" t="str">
        <v/>
      </c>
      <c r="E5" s="0" t="str">
        <v/>
      </c>
      <c r="F5" s="0" t="str">
        <v/>
      </c>
      <c r="G5" s="0">
        <f>IF((COUNTIF(G7:G9,"P")+COUNTIF(G7:G9,"A")+COUNTIF(G7:G9,"R")+COUNTIF(G7:G9,"F")+COUNTIF(G7:G9,"J"))&gt;0,IFERROR(ROUND(100*(COUNTIF(G7:G9,"P")+COUNTIF(G7:G9,"A")+COUNTIF(G7:G9,"R"))/(COUNTIF(G7:G9,"P")+COUNTIF(G7:G9,"A")+COUNTIF(G7:G9,"R")+COUNTIF(G7:G9,"F")+COUNTIF(G7:G9,"J")),0)&amp;"%",""),"-")</f>
        <v/>
      </c>
      <c r="H5" s="0">
        <f>IF((COUNTIF(H7:H9,"P")+COUNTIF(H7:H9,"A")+COUNTIF(H7:H9,"R")+COUNTIF(H7:H9,"F")+COUNTIF(H7:H9,"J"))&gt;0,IFERROR(ROUND(100*(COUNTIF(H7:H9,"P")+COUNTIF(H7:H9,"A")+COUNTIF(H7:H9,"R"))/(COUNTIF(H7:H9,"P")+COUNTIF(H7:H9,"A")+COUNTIF(H7:H9,"R")+COUNTIF(H7:H9,"F")+COUNTIF(H7:H9,"J")),0)&amp;"%",""),"-")</f>
        <v/>
      </c>
      <c r="I5" s="0">
        <f>IF((COUNTIF(I7:I9,"P")+COUNTIF(I7:I9,"A")+COUNTIF(I7:I9,"R")+COUNTIF(I7:I9,"F")+COUNTIF(I7:I9,"J"))&gt;0,IFERROR(ROUND(100*(COUNTIF(I7:I9,"P")+COUNTIF(I7:I9,"A")+COUNTIF(I7:I9,"R"))/(COUNTIF(I7:I9,"P")+COUNTIF(I7:I9,"A")+COUNTIF(I7:I9,"R")+COUNTIF(I7:I9,"F")+COUNTIF(I7:I9,"J")),0)&amp;"%",""),"-")</f>
        <v/>
      </c>
      <c r="J5" s="0">
        <f>IF((COUNTIF(J7:J9,"P")+COUNTIF(J7:J9,"A")+COUNTIF(J7:J9,"R")+COUNTIF(J7:J9,"F")+COUNTIF(J7:J9,"J"))&gt;0,IFERROR(ROUND(100*(COUNTIF(J7:J9,"P")+COUNTIF(J7:J9,"A")+COUNTIF(J7:J9,"R"))/(COUNTIF(J7:J9,"P")+COUNTIF(J7:J9,"A")+COUNTIF(J7:J9,"R")+COUNTIF(J7:J9,"F")+COUNTIF(J7:J9,"J")),0)&amp;"%",""),"-")</f>
        <v/>
      </c>
      <c r="K5" s="0">
        <f>IF((COUNTIF(K7:K9,"P")+COUNTIF(K7:K9,"A")+COUNTIF(K7:K9,"R")+COUNTIF(K7:K9,"F")+COUNTIF(K7:K9,"J"))&gt;0,IFERROR(ROUND(100*(COUNTIF(K7:K9,"P")+COUNTIF(K7:K9,"A")+COUNTIF(K7:K9,"R"))/(COUNTIF(K7:K9,"P")+COUNTIF(K7:K9,"A")+COUNTIF(K7:K9,"R")+COUNTIF(K7:K9,"F")+COUNTIF(K7:K9,"J")),0)&amp;"%",""),"-")</f>
        <v/>
      </c>
      <c r="L5" s="0">
        <f>IF((COUNTIF(L7:L9,"P")+COUNTIF(L7:L9,"A")+COUNTIF(L7:L9,"R")+COUNTIF(L7:L9,"F")+COUNTIF(L7:L9,"J"))&gt;0,IFERROR(ROUND(100*(COUNTIF(L7:L9,"P")+COUNTIF(L7:L9,"A")+COUNTIF(L7:L9,"R"))/(COUNTIF(L7:L9,"P")+COUNTIF(L7:L9,"A")+COUNTIF(L7:L9,"R")+COUNTIF(L7:L9,"F")+COUNTIF(L7:L9,"J")),0)&amp;"%",""),"-")</f>
        <v/>
      </c>
      <c r="M5" s="0">
        <f>IF((COUNTIF(M7:M9,"P")+COUNTIF(M7:M9,"A")+COUNTIF(M7:M9,"R")+COUNTIF(M7:M9,"F")+COUNTIF(M7:M9,"J"))&gt;0,IFERROR(ROUND(100*(COUNTIF(M7:M9,"P")+COUNTIF(M7:M9,"A")+COUNTIF(M7:M9,"R"))/(COUNTIF(M7:M9,"P")+COUNTIF(M7:M9,"A")+COUNTIF(M7:M9,"R")+COUNTIF(M7:M9,"F")+COUNTIF(M7:M9,"J")),0)&amp;"%",""),"-")</f>
        <v/>
      </c>
      <c r="N5" s="0">
        <f>IF((COUNTIF(N7:N9,"P")+COUNTIF(N7:N9,"A")+COUNTIF(N7:N9,"R")+COUNTIF(N7:N9,"F")+COUNTIF(N7:N9,"J"))&gt;0,IFERROR(ROUND(100*(COUNTIF(N7:N9,"P")+COUNTIF(N7:N9,"A")+COUNTIF(N7:N9,"R"))/(COUNTIF(N7:N9,"P")+COUNTIF(N7:N9,"A")+COUNTIF(N7:N9,"R")+COUNTIF(N7:N9,"F")+COUNTIF(N7:N9,"J")),0)&amp;"%",""),"-")</f>
        <v/>
      </c>
      <c r="O5" s="0">
        <f>IF((COUNTIF(O7:O9,"P")+COUNTIF(O7:O9,"A")+COUNTIF(O7:O9,"R")+COUNTIF(O7:O9,"F")+COUNTIF(O7:O9,"J"))&gt;0,IFERROR(ROUND(100*(COUNTIF(O7:O9,"P")+COUNTIF(O7:O9,"A")+COUNTIF(O7:O9,"R"))/(COUNTIF(O7:O9,"P")+COUNTIF(O7:O9,"A")+COUNTIF(O7:O9,"R")+COUNTIF(O7:O9,"F")+COUNTIF(O7:O9,"J")),0)&amp;"%",""),"-")</f>
        <v/>
      </c>
      <c r="P5" s="0">
        <f>IF((COUNTIF(P7:P9,"P")+COUNTIF(P7:P9,"A")+COUNTIF(P7:P9,"R")+COUNTIF(P7:P9,"F")+COUNTIF(P7:P9,"J"))&gt;0,IFERROR(ROUND(100*(COUNTIF(P7:P9,"P")+COUNTIF(P7:P9,"A")+COUNTIF(P7:P9,"R"))/(COUNTIF(P7:P9,"P")+COUNTIF(P7:P9,"A")+COUNTIF(P7:P9,"R")+COUNTIF(P7:P9,"F")+COUNTIF(P7:P9,"J")),0)&amp;"%",""),"-")</f>
        <v/>
      </c>
      <c r="Q5" s="0">
        <f>IF((COUNTIF(Q7:Q9,"P")+COUNTIF(Q7:Q9,"A")+COUNTIF(Q7:Q9,"R")+COUNTIF(Q7:Q9,"F")+COUNTIF(Q7:Q9,"J"))&gt;0,IFERROR(ROUND(100*(COUNTIF(Q7:Q9,"P")+COUNTIF(Q7:Q9,"A")+COUNTIF(Q7:Q9,"R"))/(COUNTIF(Q7:Q9,"P")+COUNTIF(Q7:Q9,"A")+COUNTIF(Q7:Q9,"R")+COUNTIF(Q7:Q9,"F")+COUNTIF(Q7:Q9,"J")),0)&amp;"%",""),"-")</f>
        <v/>
      </c>
      <c r="R5" s="0">
        <f>IF((COUNTIF(R7:R9,"P")+COUNTIF(R7:R9,"A")+COUNTIF(R7:R9,"R")+COUNTIF(R7:R9,"F")+COUNTIF(R7:R9,"J"))&gt;0,IFERROR(ROUND(100*(COUNTIF(R7:R9,"P")+COUNTIF(R7:R9,"A")+COUNTIF(R7:R9,"R"))/(COUNTIF(R7:R9,"P")+COUNTIF(R7:R9,"A")+COUNTIF(R7:R9,"R")+COUNTIF(R7:R9,"F")+COUNTIF(R7:R9,"J")),0)&amp;"%",""),"-")</f>
        <v/>
      </c>
      <c r="S5" s="0">
        <f>IF((COUNTIF(S7:S9,"P")+COUNTIF(S7:S9,"A")+COUNTIF(S7:S9,"R")+COUNTIF(S7:S9,"F")+COUNTIF(S7:S9,"J"))&gt;0,IFERROR(ROUND(100*(COUNTIF(S7:S9,"P")+COUNTIF(S7:S9,"A")+COUNTIF(S7:S9,"R"))/(COUNTIF(S7:S9,"P")+COUNTIF(S7:S9,"A")+COUNTIF(S7:S9,"R")+COUNTIF(S7:S9,"F")+COUNTIF(S7:S9,"J")),0)&amp;"%",""),"-")</f>
        <v/>
      </c>
      <c r="T5" s="0">
        <f>IF((COUNTIF(T7:T9,"P")+COUNTIF(T7:T9,"A")+COUNTIF(T7:T9,"R")+COUNTIF(T7:T9,"F")+COUNTIF(T7:T9,"J"))&gt;0,IFERROR(ROUND(100*(COUNTIF(T7:T9,"P")+COUNTIF(T7:T9,"A")+COUNTIF(T7:T9,"R"))/(COUNTIF(T7:T9,"P")+COUNTIF(T7:T9,"A")+COUNTIF(T7:T9,"R")+COUNTIF(T7:T9,"F")+COUNTIF(T7:T9,"J")),0)&amp;"%",""),"-")</f>
        <v/>
      </c>
      <c r="U5" s="0">
        <f>IF((COUNTIF(U7:U9,"P")+COUNTIF(U7:U9,"A")+COUNTIF(U7:U9,"R")+COUNTIF(U7:U9,"F")+COUNTIF(U7:U9,"J"))&gt;0,IFERROR(ROUND(100*(COUNTIF(U7:U9,"P")+COUNTIF(U7:U9,"A")+COUNTIF(U7:U9,"R"))/(COUNTIF(U7:U9,"P")+COUNTIF(U7:U9,"A")+COUNTIF(U7:U9,"R")+COUNTIF(U7:U9,"F")+COUNTIF(U7:U9,"J")),0)&amp;"%",""),"-")</f>
        <v/>
      </c>
      <c r="V5" s="0">
        <f>IF((COUNTIF(V7:V9,"P")+COUNTIF(V7:V9,"A")+COUNTIF(V7:V9,"R")+COUNTIF(V7:V9,"F")+COUNTIF(V7:V9,"J"))&gt;0,IFERROR(ROUND(100*(COUNTIF(V7:V9,"P")+COUNTIF(V7:V9,"A")+COUNTIF(V7:V9,"R"))/(COUNTIF(V7:V9,"P")+COUNTIF(V7:V9,"A")+COUNTIF(V7:V9,"R")+COUNTIF(V7:V9,"F")+COUNTIF(V7:V9,"J")),0)&amp;"%",""),"-")</f>
        <v/>
      </c>
      <c r="W5" s="0">
        <f>IF((COUNTIF(W7:W9,"P")+COUNTIF(W7:W9,"A")+COUNTIF(W7:W9,"R")+COUNTIF(W7:W9,"F")+COUNTIF(W7:W9,"J"))&gt;0,IFERROR(ROUND(100*(COUNTIF(W7:W9,"P")+COUNTIF(W7:W9,"A")+COUNTIF(W7:W9,"R"))/(COUNTIF(W7:W9,"P")+COUNTIF(W7:W9,"A")+COUNTIF(W7:W9,"R")+COUNTIF(W7:W9,"F")+COUNTIF(W7:W9,"J")),0)&amp;"%",""),"-")</f>
        <v/>
      </c>
      <c r="X5" s="0">
        <f>IF((COUNTIF(X7:X9,"P")+COUNTIF(X7:X9,"A")+COUNTIF(X7:X9,"R")+COUNTIF(X7:X9,"F")+COUNTIF(X7:X9,"J"))&gt;0,IFERROR(ROUND(100*(COUNTIF(X7:X9,"P")+COUNTIF(X7:X9,"A")+COUNTIF(X7:X9,"R"))/(COUNTIF(X7:X9,"P")+COUNTIF(X7:X9,"A")+COUNTIF(X7:X9,"R")+COUNTIF(X7:X9,"F")+COUNTIF(X7:X9,"J")),0)&amp;"%",""),"-")</f>
        <v/>
      </c>
      <c r="Y5" s="0">
        <f>IF((COUNTIF(Y7:Y9,"P")+COUNTIF(Y7:Y9,"A")+COUNTIF(Y7:Y9,"R")+COUNTIF(Y7:Y9,"F")+COUNTIF(Y7:Y9,"J"))&gt;0,IFERROR(ROUND(100*(COUNTIF(Y7:Y9,"P")+COUNTIF(Y7:Y9,"A")+COUNTIF(Y7:Y9,"R"))/(COUNTIF(Y7:Y9,"P")+COUNTIF(Y7:Y9,"A")+COUNTIF(Y7:Y9,"R")+COUNTIF(Y7:Y9,"F")+COUNTIF(Y7:Y9,"J")),0)&amp;"%",""),"-")</f>
        <v/>
      </c>
      <c r="Z5" s="0">
        <f>IF((COUNTIF(Z7:Z9,"P")+COUNTIF(Z7:Z9,"A")+COUNTIF(Z7:Z9,"R")+COUNTIF(Z7:Z9,"F")+COUNTIF(Z7:Z9,"J"))&gt;0,IFERROR(ROUND(100*(COUNTIF(Z7:Z9,"P")+COUNTIF(Z7:Z9,"A")+COUNTIF(Z7:Z9,"R"))/(COUNTIF(Z7:Z9,"P")+COUNTIF(Z7:Z9,"A")+COUNTIF(Z7:Z9,"R")+COUNTIF(Z7:Z9,"F")+COUNTIF(Z7:Z9,"J")),0)&amp;"%",""),"-")</f>
        <v/>
      </c>
      <c r="AA5" s="0">
        <f>IF((COUNTIF(AA7:AA9,"P")+COUNTIF(AA7:AA9,"A")+COUNTIF(AA7:AA9,"R")+COUNTIF(AA7:AA9,"F")+COUNTIF(AA7:AA9,"J"))&gt;0,IFERROR(ROUND(100*(COUNTIF(AA7:AA9,"P")+COUNTIF(AA7:AA9,"A")+COUNTIF(AA7:AA9,"R"))/(COUNTIF(AA7:AA9,"P")+COUNTIF(AA7:AA9,"A")+COUNTIF(AA7:AA9,"R")+COUNTIF(AA7:AA9,"F")+COUNTIF(AA7:AA9,"J")),0)&amp;"%",""),"-")</f>
        <v/>
      </c>
      <c r="AB5" s="0">
        <f>IF((COUNTIF(AB7:AB9,"P")+COUNTIF(AB7:AB9,"A")+COUNTIF(AB7:AB9,"R")+COUNTIF(AB7:AB9,"F")+COUNTIF(AB7:AB9,"J"))&gt;0,IFERROR(ROUND(100*(COUNTIF(AB7:AB9,"P")+COUNTIF(AB7:AB9,"A")+COUNTIF(AB7:AB9,"R"))/(COUNTIF(AB7:AB9,"P")+COUNTIF(AB7:AB9,"A")+COUNTIF(AB7:AB9,"R")+COUNTIF(AB7:AB9,"F")+COUNTIF(AB7:AB9,"J")),0)&amp;"%",""),"-")</f>
        <v/>
      </c>
      <c r="AC5" s="0">
        <f>IF((COUNTIF(AC7:AC9,"P")+COUNTIF(AC7:AC9,"A")+COUNTIF(AC7:AC9,"R")+COUNTIF(AC7:AC9,"F")+COUNTIF(AC7:AC9,"J"))&gt;0,IFERROR(ROUND(100*(COUNTIF(AC7:AC9,"P")+COUNTIF(AC7:AC9,"A")+COUNTIF(AC7:AC9,"R"))/(COUNTIF(AC7:AC9,"P")+COUNTIF(AC7:AC9,"A")+COUNTIF(AC7:AC9,"R")+COUNTIF(AC7:AC9,"F")+COUNTIF(AC7:AC9,"J")),0)&amp;"%",""),"-")</f>
        <v/>
      </c>
      <c r="AD5" s="0">
        <f>IF((COUNTIF(AD7:AD9,"P")+COUNTIF(AD7:AD9,"A")+COUNTIF(AD7:AD9,"R")+COUNTIF(AD7:AD9,"F")+COUNTIF(AD7:AD9,"J"))&gt;0,IFERROR(ROUND(100*(COUNTIF(AD7:AD9,"P")+COUNTIF(AD7:AD9,"A")+COUNTIF(AD7:AD9,"R"))/(COUNTIF(AD7:AD9,"P")+COUNTIF(AD7:AD9,"A")+COUNTIF(AD7:AD9,"R")+COUNTIF(AD7:AD9,"F")+COUNTIF(AD7:AD9,"J")),0)&amp;"%",""),"-")</f>
        <v/>
      </c>
      <c r="AE5" s="0">
        <f>IF((COUNTIF(AE7:AE9,"P")+COUNTIF(AE7:AE9,"A")+COUNTIF(AE7:AE9,"R")+COUNTIF(AE7:AE9,"F")+COUNTIF(AE7:AE9,"J"))&gt;0,IFERROR(ROUND(100*(COUNTIF(AE7:AE9,"P")+COUNTIF(AE7:AE9,"A")+COUNTIF(AE7:AE9,"R"))/(COUNTIF(AE7:AE9,"P")+COUNTIF(AE7:AE9,"A")+COUNTIF(AE7:AE9,"R")+COUNTIF(AE7:AE9,"F")+COUNTIF(AE7:AE9,"J")),0)&amp;"%",""),"-")</f>
        <v/>
      </c>
      <c r="AF5" s="0">
        <f>IF((COUNTIF(AF7:AF9,"P")+COUNTIF(AF7:AF9,"A")+COUNTIF(AF7:AF9,"R")+COUNTIF(AF7:AF9,"F")+COUNTIF(AF7:AF9,"J"))&gt;0,IFERROR(ROUND(100*(COUNTIF(AF7:AF9,"P")+COUNTIF(AF7:AF9,"A")+COUNTIF(AF7:AF9,"R"))/(COUNTIF(AF7:AF9,"P")+COUNTIF(AF7:AF9,"A")+COUNTIF(AF7:AF9,"R")+COUNTIF(AF7:AF9,"F")+COUNTIF(AF7:AF9,"J")),0)&amp;"%",""),"-")</f>
        <v/>
      </c>
      <c r="AG5" s="0">
        <f>IF((COUNTIF(AG7:AG9,"P")+COUNTIF(AG7:AG9,"A")+COUNTIF(AG7:AG9,"R")+COUNTIF(AG7:AG9,"F")+COUNTIF(AG7:AG9,"J"))&gt;0,IFERROR(ROUND(100*(COUNTIF(AG7:AG9,"P")+COUNTIF(AG7:AG9,"A")+COUNTIF(AG7:AG9,"R"))/(COUNTIF(AG7:AG9,"P")+COUNTIF(AG7:AG9,"A")+COUNTIF(AG7:AG9,"R")+COUNTIF(AG7:AG9,"F")+COUNTIF(AG7:AG9,"J")),0)&amp;"%",""),"-")</f>
        <v/>
      </c>
      <c r="AH5" s="0">
        <f>IF((COUNTIF(AH7:AH9,"P")+COUNTIF(AH7:AH9,"A")+COUNTIF(AH7:AH9,"R")+COUNTIF(AH7:AH9,"F")+COUNTIF(AH7:AH9,"J"))&gt;0,IFERROR(ROUND(100*(COUNTIF(AH7:AH9,"P")+COUNTIF(AH7:AH9,"A")+COUNTIF(AH7:AH9,"R"))/(COUNTIF(AH7:AH9,"P")+COUNTIF(AH7:AH9,"A")+COUNTIF(AH7:AH9,"R")+COUNTIF(AH7:AH9,"F")+COUNTIF(AH7:AH9,"J")),0)&amp;"%",""),"-")</f>
        <v/>
      </c>
      <c r="AI5" s="0">
        <f>IF((COUNTIF(AI7:AI9,"P")+COUNTIF(AI7:AI9,"A")+COUNTIF(AI7:AI9,"R")+COUNTIF(AI7:AI9,"F")+COUNTIF(AI7:AI9,"J"))&gt;0,IFERROR(ROUND(100*(COUNTIF(AI7:AI9,"P")+COUNTIF(AI7:AI9,"A")+COUNTIF(AI7:AI9,"R"))/(COUNTIF(AI7:AI9,"P")+COUNTIF(AI7:AI9,"A")+COUNTIF(AI7:AI9,"R")+COUNTIF(AI7:AI9,"F")+COUNTIF(AI7:AI9,"J")),0)&amp;"%",""),"-")</f>
        <v/>
      </c>
      <c r="AJ5" s="0">
        <f>IF((COUNTIF(AJ7:AJ9,"P")+COUNTIF(AJ7:AJ9,"A")+COUNTIF(AJ7:AJ9,"R")+COUNTIF(AJ7:AJ9,"F")+COUNTIF(AJ7:AJ9,"J"))&gt;0,IFERROR(ROUND(100*(COUNTIF(AJ7:AJ9,"P")+COUNTIF(AJ7:AJ9,"A")+COUNTIF(AJ7:AJ9,"R"))/(COUNTIF(AJ7:AJ9,"P")+COUNTIF(AJ7:AJ9,"A")+COUNTIF(AJ7:AJ9,"R")+COUNTIF(AJ7:AJ9,"F")+COUNTIF(AJ7:AJ9,"J")),0)&amp;"%",""),"-")</f>
        <v/>
      </c>
      <c r="AK5" s="0">
        <f>IF((COUNTIF(AK7:AK9,"P")+COUNTIF(AK7:AK9,"A")+COUNTIF(AK7:AK9,"R")+COUNTIF(AK7:AK9,"F")+COUNTIF(AK7:AK9,"J"))&gt;0,IFERROR(ROUND(100*(COUNTIF(AK7:AK9,"P")+COUNTIF(AK7:AK9,"A")+COUNTIF(AK7:AK9,"R"))/(COUNTIF(AK7:AK9,"P")+COUNTIF(AK7:AK9,"A")+COUNTIF(AK7:AK9,"R")+COUNTIF(AK7:AK9,"F")+COUNTIF(AK7:AK9,"J")),0)&amp;"%",""),"-")</f>
        <v/>
      </c>
    </row>
    <row r="6" spans="1:37" customFormat="false" ht="66">
      <c r="A6" s="3" t="str">
        <v>ID</v>
      </c>
      <c r="B6" s="3">
        <v>3</v>
      </c>
      <c r="C6" s="1" t="str">
        <v>Nome</v>
      </c>
      <c r="D6" s="1" t="str">
        <v>Status</v>
      </c>
      <c r="E6" s="1" t="str">
        <v>% Trim</v>
      </c>
      <c r="F6" s="1" t="str">
        <v>% Ano</v>
      </c>
      <c r="G6" s="1" t="str">
        <v>14/10/26</v>
      </c>
      <c r="H6" s="1" t="str">
        <v>30/09/26</v>
      </c>
      <c r="I6" s="1" t="str">
        <v>23/09/26</v>
      </c>
      <c r="J6" s="1" t="str">
        <v>09/09/26</v>
      </c>
      <c r="K6" s="1" t="str">
        <v>02/09/26</v>
      </c>
      <c r="L6" s="1" t="str">
        <v>26/08/26</v>
      </c>
      <c r="M6" s="1" t="str">
        <v>19/08/26</v>
      </c>
      <c r="N6" s="1" t="str">
        <v>12/08/26</v>
      </c>
      <c r="O6" s="1" t="str">
        <v>05/08/26</v>
      </c>
      <c r="P6" s="1" t="str">
        <v>15/07/26</v>
      </c>
      <c r="Q6" s="1" t="str">
        <v>09/07/26</v>
      </c>
      <c r="R6" s="1" t="str">
        <v>01/07/26</v>
      </c>
      <c r="S6" s="1" t="str">
        <v>17/06/26</v>
      </c>
      <c r="T6" s="1" t="str">
        <v>10/06/26</v>
      </c>
      <c r="U6" s="1" t="str">
        <v>27/05/26</v>
      </c>
      <c r="V6" s="1" t="str">
        <v>20/05/26</v>
      </c>
      <c r="W6" s="1" t="str">
        <v>13/05/26</v>
      </c>
      <c r="X6" s="1" t="str">
        <v>06/05/26</v>
      </c>
      <c r="Y6" s="1" t="str">
        <v>29/04/26</v>
      </c>
      <c r="Z6" s="1" t="str">
        <v>15/04/26</v>
      </c>
      <c r="AA6" s="1" t="str">
        <v>08/04/26</v>
      </c>
      <c r="AB6" s="1" t="str">
        <v>01/04/26</v>
      </c>
      <c r="AC6" s="1" t="str">
        <v>31/03/26</v>
      </c>
      <c r="AD6" s="1" t="str">
        <v>25/03/26</v>
      </c>
      <c r="AE6" s="1" t="str">
        <v>18/03/26</v>
      </c>
      <c r="AF6" s="2" t="str">
        <v>11/03/26</v>
      </c>
      <c r="AG6" s="1" t="str">
        <v>04/03/26</v>
      </c>
      <c r="AH6" s="2" t="str">
        <v>25/02/26</v>
      </c>
      <c r="AI6" s="1" t="str">
        <v>11/02/26</v>
      </c>
      <c r="AJ6" s="0" t="str">
        <v>04/02/26</v>
      </c>
      <c r="AK6" s="0" t="str">
        <v>28/01/26</v>
      </c>
    </row>
    <row r="7" spans="1:37" customFormat="false">
      <c r="A7" s="0" t="str">
        <v>14820</v>
      </c>
      <c r="B7" s="0">
        <v>1</v>
      </c>
      <c r="C7" s="0" t="str">
        <v>Claudia Marcia Marques (Sala Pampulha)</v>
      </c>
      <c r="D7" s="0" t="str">
        <v>Ativo</v>
      </c>
      <c r="E7" s="0">
        <f>IF((COUNTIF(INDIRECT(ADDRESS(ROW(),7)&amp;":"&amp;ADDRESS(ROW(),15)),"P")+COUNTIF(INDIRECT(ADDRESS(ROW(),7)&amp;":"&amp;ADDRESS(ROW(),15)),"A")+COUNTIF(INDIRECT(ADDRESS(ROW(),7)&amp;":"&amp;ADDRESS(ROW(),15)),"R")+COUNTIF(INDIRECT(ADDRESS(ROW(),7)&amp;":"&amp;ADDRESS(ROW(),15)),"F")+COUNTIF(INDIRECT(ADDRESS(ROW(),7)&amp;":"&amp;ADDRESS(ROW(),15)),"J"))&gt;0, IFERROR(ROUND(100*(COUNTIF(INDIRECT(ADDRESS(ROW(),7)&amp;":"&amp;ADDRESS(ROW(),15)),"P")+COUNTIF(INDIRECT(ADDRESS(ROW(),7)&amp;":"&amp;ADDRESS(ROW(),15)),"A")+COUNTIF(INDIRECT(ADDRESS(ROW(),7)&amp;":"&amp;ADDRESS(ROW(),15)),"R"))/(COUNTIF(INDIRECT(ADDRESS(ROW(),7)&amp;":"&amp;ADDRESS(ROW(),15)),"P")+COUNTIF(INDIRECT(ADDRESS(ROW(),7)&amp;":"&amp;ADDRESS(ROW(),15)),"A")+COUNTIF(INDIRECT(ADDRESS(ROW(),7)&amp;":"&amp;ADDRESS(ROW(),15)),"R")+COUNTIF(INDIRECT(ADDRESS(ROW(),7)&amp;":"&amp;ADDRESS(ROW(),15)),"F")+COUNTIF(INDIRECT(ADDRESS(ROW(),7)&amp;":"&amp;ADDRESS(ROW(),15)),"J")),0)&amp;"%",""), "-")</f>
        <v/>
      </c>
      <c r="F7" s="0">
        <f>IF((COUNTIF(INDIRECT(ADDRESS(ROW(),7)&amp;":"&amp;ADDRESS(ROW(),37)),"P")+COUNTIF(INDIRECT(ADDRESS(ROW(),7)&amp;":"&amp;ADDRESS(ROW(),37)),"A")+COUNTIF(INDIRECT(ADDRESS(ROW(),7)&amp;":"&amp;ADDRESS(ROW(),37)),"R")+COUNTIF(INDIRECT(ADDRESS(ROW(),7)&amp;":"&amp;ADDRESS(ROW(),37)),"F")+COUNTIF(INDIRECT(ADDRESS(ROW(),7)&amp;":"&amp;ADDRESS(ROW(),37)),"J"))&gt;0, IFERROR(ROUND(100*(COUNTIF(INDIRECT(ADDRESS(ROW(),7)&amp;":"&amp;ADDRESS(ROW(),37)),"P")+COUNTIF(INDIRECT(ADDRESS(ROW(),7)&amp;":"&amp;ADDRESS(ROW(),37)),"A")+COUNTIF(INDIRECT(ADDRESS(ROW(),7)&amp;":"&amp;ADDRESS(ROW(),37)),"R"))/(COUNTIF(INDIRECT(ADDRESS(ROW(),7)&amp;":"&amp;ADDRESS(ROW(),37)),"P")+COUNTIF(INDIRECT(ADDRESS(ROW(),7)&amp;":"&amp;ADDRESS(ROW(),37)),"A")+COUNTIF(INDIRECT(ADDRESS(ROW(),7)&amp;":"&amp;ADDRESS(ROW(),37)),"R")+COUNTIF(INDIRECT(ADDRESS(ROW(),7)&amp;":"&amp;ADDRESS(ROW(),37)),"F")+COUNTIF(INDIRECT(ADDRESS(ROW(),7)&amp;":"&amp;ADDRESS(ROW(),37)),"J")),0)&amp;"%",""), "-")</f>
        <v/>
      </c>
      <c r="G7" s="0" t="str">
        <v>F</v>
      </c>
      <c r="H7" s="0" t="str">
        <v>P</v>
      </c>
      <c r="I7" s="0" t="str">
        <v>P</v>
      </c>
      <c r="J7" s="0" t="str">
        <v>P</v>
      </c>
      <c r="K7" s="0" t="str">
        <v>F</v>
      </c>
      <c r="L7" s="0" t="str">
        <v>P</v>
      </c>
      <c r="M7" s="0" t="str">
        <v>P</v>
      </c>
      <c r="N7" s="0" t="str">
        <v>P</v>
      </c>
      <c r="O7" s="0" t="str">
        <v>P</v>
      </c>
      <c r="P7" s="0" t="str">
        <v>P</v>
      </c>
      <c r="Q7" s="0" t="str">
        <v>P</v>
      </c>
      <c r="R7" s="0" t="str">
        <v>P</v>
      </c>
      <c r="S7" s="0" t="str">
        <v>P</v>
      </c>
      <c r="T7" s="0" t="str">
        <v>P</v>
      </c>
      <c r="U7" s="0" t="str">
        <v>P</v>
      </c>
      <c r="V7" s="0" t="str">
        <v>P</v>
      </c>
      <c r="W7" s="0" t="str">
        <v>P</v>
      </c>
      <c r="X7" s="0" t="str">
        <v>P</v>
      </c>
      <c r="Y7" s="0" t="str">
        <v>P</v>
      </c>
      <c r="Z7" s="0" t="str">
        <v>P</v>
      </c>
      <c r="AA7" s="0" t="str">
        <v>F</v>
      </c>
      <c r="AB7" s="0" t="str">
        <v>F</v>
      </c>
      <c r="AC7" s="0" t="str">
        <v/>
      </c>
      <c r="AD7" s="0" t="str">
        <v>P</v>
      </c>
      <c r="AE7" s="0" t="str">
        <v>F</v>
      </c>
      <c r="AF7" s="0" t="str">
        <v>P</v>
      </c>
      <c r="AG7" s="0" t="str">
        <v>P</v>
      </c>
      <c r="AH7" s="0" t="str">
        <v>P</v>
      </c>
      <c r="AI7" s="0" t="str">
        <v>F</v>
      </c>
      <c r="AJ7" s="0" t="str">
        <v>P</v>
      </c>
      <c r="AK7" s="0" t="str">
        <v>P</v>
      </c>
    </row>
    <row r="8" spans="1:37" customFormat="false">
      <c r="A8" s="0" t="str">
        <v>7728</v>
      </c>
      <c r="B8" s="0">
        <v>2</v>
      </c>
      <c r="C8" s="0" t="str">
        <v>Lucas Selani de Melo (Sala Pampulha)</v>
      </c>
      <c r="D8" s="0" t="str">
        <v>Ativo</v>
      </c>
      <c r="E8" s="0">
        <f>IF((COUNTIF(INDIRECT(ADDRESS(ROW(),7)&amp;":"&amp;ADDRESS(ROW(),15)),"P")+COUNTIF(INDIRECT(ADDRESS(ROW(),7)&amp;":"&amp;ADDRESS(ROW(),15)),"A")+COUNTIF(INDIRECT(ADDRESS(ROW(),7)&amp;":"&amp;ADDRESS(ROW(),15)),"R")+COUNTIF(INDIRECT(ADDRESS(ROW(),7)&amp;":"&amp;ADDRESS(ROW(),15)),"F")+COUNTIF(INDIRECT(ADDRESS(ROW(),7)&amp;":"&amp;ADDRESS(ROW(),15)),"J"))&gt;0, IFERROR(ROUND(100*(COUNTIF(INDIRECT(ADDRESS(ROW(),7)&amp;":"&amp;ADDRESS(ROW(),15)),"P")+COUNTIF(INDIRECT(ADDRESS(ROW(),7)&amp;":"&amp;ADDRESS(ROW(),15)),"A")+COUNTIF(INDIRECT(ADDRESS(ROW(),7)&amp;":"&amp;ADDRESS(ROW(),15)),"R"))/(COUNTIF(INDIRECT(ADDRESS(ROW(),7)&amp;":"&amp;ADDRESS(ROW(),15)),"P")+COUNTIF(INDIRECT(ADDRESS(ROW(),7)&amp;":"&amp;ADDRESS(ROW(),15)),"A")+COUNTIF(INDIRECT(ADDRESS(ROW(),7)&amp;":"&amp;ADDRESS(ROW(),15)),"R")+COUNTIF(INDIRECT(ADDRESS(ROW(),7)&amp;":"&amp;ADDRESS(ROW(),15)),"F")+COUNTIF(INDIRECT(ADDRESS(ROW(),7)&amp;":"&amp;ADDRESS(ROW(),15)),"J")),0)&amp;"%",""), "-")</f>
        <v/>
      </c>
      <c r="F8" s="0">
        <f>IF((COUNTIF(INDIRECT(ADDRESS(ROW(),7)&amp;":"&amp;ADDRESS(ROW(),37)),"P")+COUNTIF(INDIRECT(ADDRESS(ROW(),7)&amp;":"&amp;ADDRESS(ROW(),37)),"A")+COUNTIF(INDIRECT(ADDRESS(ROW(),7)&amp;":"&amp;ADDRESS(ROW(),37)),"R")+COUNTIF(INDIRECT(ADDRESS(ROW(),7)&amp;":"&amp;ADDRESS(ROW(),37)),"F")+COUNTIF(INDIRECT(ADDRESS(ROW(),7)&amp;":"&amp;ADDRESS(ROW(),37)),"J"))&gt;0, IFERROR(ROUND(100*(COUNTIF(INDIRECT(ADDRESS(ROW(),7)&amp;":"&amp;ADDRESS(ROW(),37)),"P")+COUNTIF(INDIRECT(ADDRESS(ROW(),7)&amp;":"&amp;ADDRESS(ROW(),37)),"A")+COUNTIF(INDIRECT(ADDRESS(ROW(),7)&amp;":"&amp;ADDRESS(ROW(),37)),"R"))/(COUNTIF(INDIRECT(ADDRESS(ROW(),7)&amp;":"&amp;ADDRESS(ROW(),37)),"P")+COUNTIF(INDIRECT(ADDRESS(ROW(),7)&amp;":"&amp;ADDRESS(ROW(),37)),"A")+COUNTIF(INDIRECT(ADDRESS(ROW(),7)&amp;":"&amp;ADDRESS(ROW(),37)),"R")+COUNTIF(INDIRECT(ADDRESS(ROW(),7)&amp;":"&amp;ADDRESS(ROW(),37)),"F")+COUNTIF(INDIRECT(ADDRESS(ROW(),7)&amp;":"&amp;ADDRESS(ROW(),37)),"J")),0)&amp;"%",""), "-")</f>
        <v/>
      </c>
      <c r="G8" s="0" t="str">
        <v>P</v>
      </c>
      <c r="H8" s="0" t="str">
        <v>P</v>
      </c>
      <c r="I8" s="0" t="str">
        <v>P</v>
      </c>
      <c r="J8" s="0" t="str">
        <v>P</v>
      </c>
      <c r="K8" s="0" t="str">
        <v>P</v>
      </c>
      <c r="L8" s="0" t="str">
        <v>P</v>
      </c>
      <c r="M8" s="0" t="str">
        <v>J</v>
      </c>
      <c r="N8" s="0" t="str">
        <v>P</v>
      </c>
      <c r="O8" s="0" t="str">
        <v>P</v>
      </c>
      <c r="P8" s="0" t="str">
        <v>P</v>
      </c>
      <c r="Q8" s="0" t="str">
        <v>P</v>
      </c>
      <c r="R8" s="0" t="str">
        <v>F</v>
      </c>
      <c r="S8" s="0" t="str">
        <v>P</v>
      </c>
      <c r="T8" s="0" t="str">
        <v>P</v>
      </c>
      <c r="U8" s="0" t="str">
        <v>F</v>
      </c>
      <c r="V8" s="0" t="str">
        <v>F</v>
      </c>
      <c r="W8" s="0" t="str">
        <v>F</v>
      </c>
      <c r="X8" s="0" t="str">
        <v>F</v>
      </c>
      <c r="Y8" s="0" t="str">
        <v>P</v>
      </c>
      <c r="Z8" s="0" t="str">
        <v>P</v>
      </c>
      <c r="AA8" s="0" t="str">
        <v>P</v>
      </c>
      <c r="AB8" s="0" t="str">
        <v>P</v>
      </c>
      <c r="AC8" s="0" t="str">
        <v>P</v>
      </c>
      <c r="AD8" s="0" t="str">
        <v>P</v>
      </c>
      <c r="AE8" s="0" t="str">
        <v>P</v>
      </c>
      <c r="AF8" s="0" t="str">
        <v>P</v>
      </c>
      <c r="AG8" s="0" t="str">
        <v>P</v>
      </c>
      <c r="AH8" s="0" t="str">
        <v>P</v>
      </c>
      <c r="AI8" s="0" t="str">
        <v>P</v>
      </c>
      <c r="AJ8" s="0" t="str">
        <v>P</v>
      </c>
      <c r="AK8" s="0" t="str">
        <v>P</v>
      </c>
    </row>
    <row r="9" spans="1:37" customFormat="false">
      <c r="A9" s="0" t="str">
        <v>14779</v>
      </c>
      <c r="B9" s="0">
        <v>3</v>
      </c>
      <c r="C9" s="0" t="str">
        <v>Maria Regina de Araujo Borges (Sala Pampulha)</v>
      </c>
      <c r="D9" s="0" t="str">
        <v>Ativo</v>
      </c>
      <c r="E9" s="0">
        <f>IF((COUNTIF(INDIRECT(ADDRESS(ROW(),7)&amp;":"&amp;ADDRESS(ROW(),15)),"P")+COUNTIF(INDIRECT(ADDRESS(ROW(),7)&amp;":"&amp;ADDRESS(ROW(),15)),"A")+COUNTIF(INDIRECT(ADDRESS(ROW(),7)&amp;":"&amp;ADDRESS(ROW(),15)),"R")+COUNTIF(INDIRECT(ADDRESS(ROW(),7)&amp;":"&amp;ADDRESS(ROW(),15)),"F")+COUNTIF(INDIRECT(ADDRESS(ROW(),7)&amp;":"&amp;ADDRESS(ROW(),15)),"J"))&gt;0, IFERROR(ROUND(100*(COUNTIF(INDIRECT(ADDRESS(ROW(),7)&amp;":"&amp;ADDRESS(ROW(),15)),"P")+COUNTIF(INDIRECT(ADDRESS(ROW(),7)&amp;":"&amp;ADDRESS(ROW(),15)),"A")+COUNTIF(INDIRECT(ADDRESS(ROW(),7)&amp;":"&amp;ADDRESS(ROW(),15)),"R"))/(COUNTIF(INDIRECT(ADDRESS(ROW(),7)&amp;":"&amp;ADDRESS(ROW(),15)),"P")+COUNTIF(INDIRECT(ADDRESS(ROW(),7)&amp;":"&amp;ADDRESS(ROW(),15)),"A")+COUNTIF(INDIRECT(ADDRESS(ROW(),7)&amp;":"&amp;ADDRESS(ROW(),15)),"R")+COUNTIF(INDIRECT(ADDRESS(ROW(),7)&amp;":"&amp;ADDRESS(ROW(),15)),"F")+COUNTIF(INDIRECT(ADDRESS(ROW(),7)&amp;":"&amp;ADDRESS(ROW(),15)),"J")),0)&amp;"%",""), "-")</f>
        <v/>
      </c>
      <c r="F9" s="0">
        <f>IF((COUNTIF(INDIRECT(ADDRESS(ROW(),7)&amp;":"&amp;ADDRESS(ROW(),37)),"P")+COUNTIF(INDIRECT(ADDRESS(ROW(),7)&amp;":"&amp;ADDRESS(ROW(),37)),"A")+COUNTIF(INDIRECT(ADDRESS(ROW(),7)&amp;":"&amp;ADDRESS(ROW(),37)),"R")+COUNTIF(INDIRECT(ADDRESS(ROW(),7)&amp;":"&amp;ADDRESS(ROW(),37)),"F")+COUNTIF(INDIRECT(ADDRESS(ROW(),7)&amp;":"&amp;ADDRESS(ROW(),37)),"J"))&gt;0, IFERROR(ROUND(100*(COUNTIF(INDIRECT(ADDRESS(ROW(),7)&amp;":"&amp;ADDRESS(ROW(),37)),"P")+COUNTIF(INDIRECT(ADDRESS(ROW(),7)&amp;":"&amp;ADDRESS(ROW(),37)),"A")+COUNTIF(INDIRECT(ADDRESS(ROW(),7)&amp;":"&amp;ADDRESS(ROW(),37)),"R"))/(COUNTIF(INDIRECT(ADDRESS(ROW(),7)&amp;":"&amp;ADDRESS(ROW(),37)),"P")+COUNTIF(INDIRECT(ADDRESS(ROW(),7)&amp;":"&amp;ADDRESS(ROW(),37)),"A")+COUNTIF(INDIRECT(ADDRESS(ROW(),7)&amp;":"&amp;ADDRESS(ROW(),37)),"R")+COUNTIF(INDIRECT(ADDRESS(ROW(),7)&amp;":"&amp;ADDRESS(ROW(),37)),"F")+COUNTIF(INDIRECT(ADDRESS(ROW(),7)&amp;":"&amp;ADDRESS(ROW(),37)),"J")),0)&amp;"%",""), "-")</f>
        <v/>
      </c>
      <c r="G9" s="0" t="str">
        <v>P</v>
      </c>
      <c r="H9" s="0" t="str">
        <v>P</v>
      </c>
      <c r="I9" s="0" t="str">
        <v>P</v>
      </c>
      <c r="J9" s="0" t="str">
        <v>P</v>
      </c>
      <c r="K9" s="0" t="str">
        <v>P</v>
      </c>
      <c r="L9" s="0" t="str">
        <v>P</v>
      </c>
      <c r="M9" s="0" t="str">
        <v>P</v>
      </c>
      <c r="N9" s="0" t="str">
        <v>J</v>
      </c>
      <c r="O9" s="0" t="str">
        <v>P</v>
      </c>
      <c r="P9" s="0" t="str">
        <v>P</v>
      </c>
      <c r="Q9" s="0" t="str">
        <v>F</v>
      </c>
      <c r="R9" s="0" t="str">
        <v>P</v>
      </c>
      <c r="S9" s="0" t="str">
        <v>P</v>
      </c>
      <c r="T9" s="0" t="str">
        <v>P</v>
      </c>
      <c r="U9" s="0" t="str">
        <v>P</v>
      </c>
      <c r="V9" s="0" t="str">
        <v>P</v>
      </c>
      <c r="W9" s="0" t="str">
        <v>P</v>
      </c>
      <c r="X9" s="0" t="str">
        <v>P</v>
      </c>
      <c r="Y9" s="0" t="str">
        <v>P</v>
      </c>
      <c r="Z9" s="0" t="str">
        <v>P</v>
      </c>
      <c r="AA9" s="0" t="str">
        <v>P</v>
      </c>
      <c r="AB9" s="0" t="str">
        <v>P</v>
      </c>
      <c r="AC9" s="0" t="str">
        <v>P</v>
      </c>
      <c r="AD9" s="0" t="str">
        <v>P</v>
      </c>
      <c r="AE9" s="0" t="str">
        <v>P</v>
      </c>
      <c r="AF9" s="0" t="str">
        <v>F</v>
      </c>
      <c r="AG9" s="0" t="str">
        <v>F</v>
      </c>
      <c r="AH9" s="0" t="str">
        <v>P</v>
      </c>
      <c r="AI9" s="0" t="str">
        <v>P</v>
      </c>
      <c r="AJ9" s="0" t="str">
        <v>P</v>
      </c>
      <c r="AK9" s="0" t="str">
        <v>P</v>
      </c>
    </row>
  </sheetData>
  <mergeCells count="4">
    <mergeCell ref="A1:B1"/>
    <mergeCell ref="A2:B2"/>
    <mergeCell ref="A4:B4"/>
    <mergeCell ref="A3:B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chamada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dcterms:created xsi:type="dcterms:W3CDTF">2025-10-12T14:59:36Z</dcterms:created>
  <dcterms:modified xsi:type="dcterms:W3CDTF">2026-02-21T00:54:19Z</dcterms:modified>
  <cp:lastModifiedBy>Daniel Targino Wassano</cp:lastModifiedBy>
  <cp:revision>0</cp:revision>
</cp:coreProperties>
</file>